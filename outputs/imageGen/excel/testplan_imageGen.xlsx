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PLAN - AI Image Generator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2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Case Type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'SUMMARY'!$A$4:$A$6</f>
            </numRef>
          </cat>
          <val>
            <numRef>
              <f>'SUMMARY'!$B$4:$B$6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4" customWidth="1" min="3" max="3"/>
    <col width="30" customWidth="1" min="4" max="4"/>
    <col width="60" customWidth="1" min="5" max="5"/>
    <col width="55" customWidth="1" min="6" max="6"/>
    <col width="18" customWidth="1" min="7" max="7"/>
    <col width="18" customWidth="1" min="8" max="8"/>
  </cols>
  <sheetData>
    <row r="1">
      <c r="A1" s="1" t="inlineStr">
        <is>
          <t>TC-ID</t>
        </is>
      </c>
      <c r="B1" s="1" t="inlineStr">
        <is>
          <t>TEST SCENARIO</t>
        </is>
      </c>
      <c r="C1" s="1" t="inlineStr">
        <is>
          <t>CASE TYPE</t>
        </is>
      </c>
      <c r="D1" s="1" t="inlineStr">
        <is>
          <t>PRE-CONDITION</t>
        </is>
      </c>
      <c r="E1" s="1" t="inlineStr">
        <is>
          <t>STEP SCENARIO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EVIDENCE</t>
        </is>
      </c>
    </row>
    <row r="2">
      <c r="A2" s="2" t="inlineStr">
        <is>
          <t>A. NAVBAR ELEMENTS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>TC-I-001</t>
        </is>
      </c>
      <c r="B3" s="5" t="inlineStr">
        <is>
          <t>NAVBAR.LOGO — Verify logo link navigates to home</t>
        </is>
      </c>
      <c r="C3" s="5" t="inlineStr">
        <is>
          <t>Positive</t>
        </is>
      </c>
      <c r="D3" s="5" t="inlineStr">
        <is>
          <t>AI Image Generator page is open</t>
        </is>
      </c>
      <c r="E3" s="5" t="inlineStr">
        <is>
          <t>1. Click on the Navbar Logo element.</t>
        </is>
      </c>
      <c r="F3" s="5" t="inlineStr">
        <is>
          <t>The page redirects back to the main homepage successfully.</t>
        </is>
      </c>
      <c r="G3" s="5" t="inlineStr"/>
      <c r="H3" s="5" t="inlineStr">
        <is>
          <t>—</t>
        </is>
      </c>
    </row>
    <row r="4">
      <c r="A4" s="2" t="inlineStr">
        <is>
          <t>C. MODEL SELECTION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TC-I-002</t>
        </is>
      </c>
      <c r="B5" s="5" t="inlineStr">
        <is>
          <t>MODEL.DROPDOWN — Select Nano Banana Pro</t>
        </is>
      </c>
      <c r="C5" s="5" t="inlineStr">
        <is>
          <t>Positive</t>
        </is>
      </c>
      <c r="D5" s="5" t="inlineStr">
        <is>
          <t>Model dropdown is expanded</t>
        </is>
      </c>
      <c r="E5" s="5" t="inlineStr">
        <is>
          <t>1. Click Model dropdown.
2. Select "Nano Banana Pro" model from list.</t>
        </is>
      </c>
      <c r="F5" s="5" t="inlineStr">
        <is>
          <t>Selected model name is displayed on the dropdown button.</t>
        </is>
      </c>
      <c r="G5" s="5" t="inlineStr"/>
      <c r="H5" s="5" t="inlineStr">
        <is>
          <t>—</t>
        </is>
      </c>
    </row>
    <row r="6">
      <c r="A6" s="2" t="inlineStr">
        <is>
          <t>G. ADVANCED OPTIONS</t>
        </is>
      </c>
      <c r="B6" s="3" t="n"/>
      <c r="C6" s="3" t="n"/>
      <c r="D6" s="3" t="n"/>
      <c r="E6" s="3" t="n"/>
      <c r="F6" s="3" t="n"/>
      <c r="G6" s="3" t="n"/>
      <c r="H6" s="3" t="n"/>
    </row>
    <row r="7">
      <c r="A7" s="4" t="inlineStr">
        <is>
          <t>TC-I-003</t>
        </is>
      </c>
      <c r="B7" s="5" t="inlineStr">
        <is>
          <t>ADVANCED.RATIO — Select aspect ratio 16:9</t>
        </is>
      </c>
      <c r="C7" s="5" t="inlineStr">
        <is>
          <t>Positive</t>
        </is>
      </c>
      <c r="D7" s="5" t="inlineStr">
        <is>
          <t>Aspect Ratio options are visible</t>
        </is>
      </c>
      <c r="E7" s="5" t="inlineStr">
        <is>
          <t>1. Click on the "16:9" ratio button.</t>
        </is>
      </c>
      <c r="F7" s="5" t="inlineStr">
        <is>
          <t>The button is highlighted and selected aspect ratio state is updated.</t>
        </is>
      </c>
      <c r="G7" s="5" t="inlineStr"/>
      <c r="H7" s="5" t="inlineStr">
        <is>
          <t>—</t>
        </is>
      </c>
    </row>
  </sheetData>
  <mergeCells count="3">
    <mergeCell ref="A4:H4"/>
    <mergeCell ref="A2:H2"/>
    <mergeCell ref="A6:H6"/>
  </mergeCells>
  <conditionalFormatting sqref="C2:C7">
    <cfRule type="cellIs" priority="1" operator="equal" dxfId="0">
      <formula>"Positive"</formula>
    </cfRule>
    <cfRule type="cellIs" priority="2" operator="equal" dxfId="1">
      <formula>"Negative"</formula>
    </cfRule>
    <cfRule type="cellIs" priority="3" operator="equal" dxfId="2">
      <formula>"Boundary"</formula>
    </cfRule>
  </conditionalFormatting>
  <dataValidations count="1">
    <dataValidation sqref="C2:C7" showDropDown="0" showInputMessage="0" showErrorMessage="0" allowBlank="1" errorTitle="Invalid Case Type" error="Select Positive, Negative, or Boundary" type="list">
      <formula1>"Positive,Negative,Boundary"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6" t="inlineStr">
        <is>
          <t>TOTAL TEST CASES</t>
        </is>
      </c>
      <c r="B2" s="7">
        <f>SUM(B4:B6)</f>
        <v/>
      </c>
    </row>
    <row r="3">
      <c r="A3" s="5" t="inlineStr"/>
      <c r="B3" s="4" t="inlineStr"/>
    </row>
    <row r="4">
      <c r="A4" s="5" t="inlineStr">
        <is>
          <t xml:space="preserve">  Positive</t>
        </is>
      </c>
      <c r="B4" s="4">
        <f>COUNTIF('TEST PLAN - AI Image Generator'!C:C, "Positive")</f>
        <v/>
      </c>
    </row>
    <row r="5">
      <c r="A5" s="5" t="inlineStr">
        <is>
          <t xml:space="preserve">  Negative</t>
        </is>
      </c>
      <c r="B5" s="4">
        <f>COUNTIF('TEST PLAN - AI Image Generator'!C:C, "Negative")</f>
        <v/>
      </c>
    </row>
    <row r="6">
      <c r="A6" s="5" t="inlineStr">
        <is>
          <t xml:space="preserve">  Boundary</t>
        </is>
      </c>
      <c r="B6" s="4">
        <f>COUNTIF('TEST PLAN - AI Image Generator'!C:C, "Boundary")</f>
        <v/>
      </c>
    </row>
    <row r="7">
      <c r="A7" s="5" t="inlineStr"/>
      <c r="B7" s="4" t="inlineStr"/>
    </row>
    <row r="8">
      <c r="A8" s="8" t="inlineStr">
        <is>
          <t>FORM/UI COMPONENT VALIDATION</t>
        </is>
      </c>
      <c r="B8" s="9" t="inlineStr"/>
    </row>
    <row r="9">
      <c r="A9" s="5" t="inlineStr">
        <is>
          <t xml:space="preserve">  NAVBAR Component Tests</t>
        </is>
      </c>
      <c r="B9" s="4">
        <f>COUNTIF('TEST PLAN - AI Image Generator'!B:B, "*NAVBAR*")</f>
        <v/>
      </c>
    </row>
    <row r="10">
      <c r="A10" s="5" t="inlineStr">
        <is>
          <t xml:space="preserve">  MODEL Component Tests</t>
        </is>
      </c>
      <c r="B10" s="4">
        <f>COUNTIF('TEST PLAN - AI Image Generator'!B:B, "*MODEL*")</f>
        <v/>
      </c>
    </row>
    <row r="11">
      <c r="A11" s="5" t="inlineStr">
        <is>
          <t xml:space="preserve">  ADVANCED Component Tests</t>
        </is>
      </c>
      <c r="B11" s="4">
        <f>COUNTIF('TEST PLAN - AI Image Generator'!B:B, "*ADVANCED*")</f>
        <v/>
      </c>
    </row>
    <row r="12">
      <c r="A12" s="5" t="inlineStr"/>
      <c r="B12" s="4" t="inlineStr"/>
    </row>
    <row r="13">
      <c r="A13" s="8" t="inlineStr">
        <is>
          <t>NON-FUNCTIONAL TESTING (ESTIMATED)</t>
        </is>
      </c>
      <c r="B13" s="9" t="inlineStr"/>
    </row>
    <row r="14">
      <c r="A14" s="5" t="inlineStr">
        <is>
          <t xml:space="preserve">  Accessibility (WCAG 2.1 AA)</t>
        </is>
      </c>
      <c r="B14" s="4">
        <f>COUNTIF('TEST PLAN - AI Image Generator'!B:B, "*Accessibility*") + COUNTIF('TEST PLAN - AI Image Generator'!B:B, "*WCAG*")</f>
        <v/>
      </c>
    </row>
    <row r="15">
      <c r="A15" s="5" t="inlineStr">
        <is>
          <t xml:space="preserve">  Cross-Browser Compatibility</t>
        </is>
      </c>
      <c r="B15" s="4">
        <f>COUNTIF('TEST PLAN - AI Image Generator'!B:B, "*Browser*") + COUNTIF('TEST PLAN - AI Image Generator'!B:B, "*Chrome*")</f>
        <v/>
      </c>
    </row>
    <row r="16">
      <c r="A16" s="5" t="inlineStr">
        <is>
          <t xml:space="preserve">  Mobile Responsive Layout</t>
        </is>
      </c>
      <c r="B16" s="4">
        <f>COUNTIF('TEST PLAN - AI Image Generator'!B:B, "*Mobile*") + COUNTIF('TEST PLAN - AI Image Generator'!B:B, "*Responsive*")</f>
        <v/>
      </c>
    </row>
    <row r="17">
      <c r="A17" s="5" t="inlineStr">
        <is>
          <t xml:space="preserve">  Performance &amp; Latency</t>
        </is>
      </c>
      <c r="B17" s="4">
        <f>COUNTIF('TEST PLAN - AI Image Generator'!B:B, "*Performance*") + COUNTIF('TEST PLAN - AI Image Generator'!B:B, "*Slow 3G*")</f>
        <v/>
      </c>
    </row>
    <row r="18">
      <c r="A18" s="5" t="inlineStr">
        <is>
          <t xml:space="preserve">  Security &amp; Sanitization</t>
        </is>
      </c>
      <c r="B18" s="4">
        <f>COUNTIF('TEST PLAN - AI Image Generator'!B:B, "*Security*") + COUNTIF('TEST PLAN - AI Image Generator'!B:B, "*XSS*")</f>
        <v/>
      </c>
    </row>
    <row r="19">
      <c r="A19" s="5" t="inlineStr"/>
      <c r="B19" s="4" t="inlineStr"/>
    </row>
    <row r="20">
      <c r="A20" s="5" t="inlineStr">
        <is>
          <t>TEST PLAN LANGUAGE</t>
        </is>
      </c>
      <c r="B20" s="4" t="inlineStr">
        <is>
          <t>English</t>
        </is>
      </c>
    </row>
    <row r="21">
      <c r="A21" s="5" t="inlineStr">
        <is>
          <t>GENERATION ENGINE</t>
        </is>
      </c>
      <c r="B21" s="4" t="inlineStr">
        <is>
          <t>Gemini (QODER AI)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2026-06-15T08:08:41Z</dcterms:created>
  <dcterms:modified xsi:type="dcterms:W3CDTF">2026-06-15T08:08:41Z</dcterms:modified>
</cp:coreProperties>
</file>